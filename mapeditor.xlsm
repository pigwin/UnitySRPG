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my\OneDrive\デスクトップ\"/>
    </mc:Choice>
  </mc:AlternateContent>
  <xr:revisionPtr revIDLastSave="0" documentId="13_ncr:1_{4AC0FE07-E803-4856-8B2B-61460ACA67A0}" xr6:coauthVersionLast="41" xr6:coauthVersionMax="41" xr10:uidLastSave="{00000000-0000-0000-0000-000000000000}"/>
  <bookViews>
    <workbookView xWindow="-120" yWindow="-120" windowWidth="29040" windowHeight="15840" tabRatio="770" xr2:uid="{00000000-000D-0000-FFFF-FFFF00000000}"/>
  </bookViews>
  <sheets>
    <sheet name="高さ情報" sheetId="1" r:id="rId1"/>
    <sheet name="マップテクスチャ" sheetId="2" r:id="rId2"/>
    <sheet name="ユニット位置" sheetId="3" r:id="rId3"/>
    <sheet name="ユニット向き" sheetId="4" r:id="rId4"/>
    <sheet name="プレイヤー配置可能場所" sheetId="5" r:id="rId5"/>
    <sheet name="強制出撃フラグ" sheetId="8" r:id="rId6"/>
    <sheet name="マップ完成版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6" l="1"/>
  <c r="B2" i="6"/>
  <c r="C2" i="6"/>
  <c r="D2" i="6"/>
  <c r="E2" i="6"/>
  <c r="A3" i="6"/>
  <c r="B3" i="6"/>
  <c r="C3" i="6"/>
  <c r="D3" i="6"/>
  <c r="E3" i="6"/>
  <c r="A4" i="6"/>
  <c r="B4" i="6"/>
  <c r="C4" i="6"/>
  <c r="D4" i="6"/>
  <c r="E4" i="6"/>
  <c r="A5" i="6"/>
  <c r="B5" i="6"/>
  <c r="C5" i="6"/>
  <c r="D5" i="6"/>
  <c r="E5" i="6"/>
  <c r="B1" i="6"/>
  <c r="C1" i="6"/>
  <c r="D1" i="6"/>
  <c r="E1" i="6"/>
  <c r="A1" i="6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15</xdr:row>
          <xdr:rowOff>38100</xdr:rowOff>
        </xdr:from>
        <xdr:to>
          <xdr:col>5</xdr:col>
          <xdr:colOff>504825</xdr:colOff>
          <xdr:row>16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マップを保存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tabSelected="1" workbookViewId="0">
      <selection activeCell="L9" sqref="L9"/>
    </sheetView>
  </sheetViews>
  <sheetFormatPr defaultRowHeight="13.5" x14ac:dyDescent="0.15"/>
  <sheetData>
    <row r="1" spans="1:5" x14ac:dyDescent="0.15">
      <c r="A1">
        <v>1</v>
      </c>
      <c r="B1">
        <v>1</v>
      </c>
      <c r="C1">
        <v>1</v>
      </c>
      <c r="D1">
        <v>1</v>
      </c>
      <c r="E1">
        <v>1</v>
      </c>
    </row>
    <row r="2" spans="1:5" x14ac:dyDescent="0.15">
      <c r="A2">
        <v>1</v>
      </c>
      <c r="B2">
        <v>2</v>
      </c>
      <c r="C2">
        <v>2</v>
      </c>
      <c r="D2">
        <v>2</v>
      </c>
      <c r="E2">
        <v>1</v>
      </c>
    </row>
    <row r="3" spans="1:5" x14ac:dyDescent="0.15">
      <c r="A3">
        <v>1</v>
      </c>
      <c r="B3">
        <v>2</v>
      </c>
      <c r="C3">
        <v>2</v>
      </c>
      <c r="D3">
        <v>2</v>
      </c>
      <c r="E3">
        <v>1</v>
      </c>
    </row>
    <row r="4" spans="1:5" x14ac:dyDescent="0.15">
      <c r="A4">
        <v>1</v>
      </c>
      <c r="B4">
        <v>2</v>
      </c>
      <c r="C4">
        <v>2</v>
      </c>
      <c r="D4">
        <v>2</v>
      </c>
      <c r="E4">
        <v>1</v>
      </c>
    </row>
    <row r="5" spans="1:5" x14ac:dyDescent="0.15">
      <c r="A5">
        <v>1</v>
      </c>
      <c r="B5">
        <v>1</v>
      </c>
      <c r="C5">
        <v>1</v>
      </c>
      <c r="D5">
        <v>1</v>
      </c>
      <c r="E5">
        <v>1</v>
      </c>
    </row>
  </sheetData>
  <phoneticPr fontId="1"/>
  <pageMargins left="0.7" right="0.7" top="0.75" bottom="0.75" header="0.3" footer="0.3"/>
  <pageSetup paperSize="9"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"/>
  <sheetViews>
    <sheetView workbookViewId="0">
      <selection activeCell="D4" sqref="D4"/>
    </sheetView>
  </sheetViews>
  <sheetFormatPr defaultRowHeight="13.5" x14ac:dyDescent="0.15"/>
  <sheetData>
    <row r="1" spans="1:5" x14ac:dyDescent="0.15">
      <c r="A1">
        <v>1</v>
      </c>
      <c r="B1">
        <v>1</v>
      </c>
      <c r="C1">
        <v>1</v>
      </c>
      <c r="D1">
        <v>1</v>
      </c>
      <c r="E1">
        <v>1</v>
      </c>
    </row>
    <row r="2" spans="1:5" x14ac:dyDescent="0.15">
      <c r="A2">
        <v>1</v>
      </c>
      <c r="B2">
        <v>1</v>
      </c>
      <c r="C2">
        <v>1</v>
      </c>
      <c r="D2">
        <v>1</v>
      </c>
      <c r="E2">
        <v>1</v>
      </c>
    </row>
    <row r="3" spans="1:5" x14ac:dyDescent="0.15">
      <c r="A3">
        <v>1</v>
      </c>
      <c r="B3">
        <v>1</v>
      </c>
      <c r="C3">
        <v>1</v>
      </c>
      <c r="D3">
        <v>1</v>
      </c>
      <c r="E3">
        <v>1</v>
      </c>
    </row>
    <row r="4" spans="1:5" x14ac:dyDescent="0.15">
      <c r="A4">
        <v>1</v>
      </c>
      <c r="B4">
        <v>1</v>
      </c>
      <c r="C4">
        <v>1</v>
      </c>
      <c r="D4">
        <v>1</v>
      </c>
      <c r="E4">
        <v>1</v>
      </c>
    </row>
    <row r="5" spans="1:5" x14ac:dyDescent="0.15">
      <c r="A5">
        <v>1</v>
      </c>
      <c r="B5">
        <v>1</v>
      </c>
      <c r="C5">
        <v>1</v>
      </c>
      <c r="D5">
        <v>1</v>
      </c>
      <c r="E5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4"/>
  <sheetViews>
    <sheetView workbookViewId="0">
      <selection activeCell="D4" sqref="D4"/>
    </sheetView>
  </sheetViews>
  <sheetFormatPr defaultRowHeight="13.5" x14ac:dyDescent="0.15"/>
  <sheetData>
    <row r="2" spans="2:4" x14ac:dyDescent="0.15">
      <c r="B2">
        <v>1</v>
      </c>
    </row>
    <row r="4" spans="2:4" x14ac:dyDescent="0.15">
      <c r="D4">
        <v>-1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D4"/>
  <sheetViews>
    <sheetView workbookViewId="0">
      <selection activeCell="D4" sqref="D4"/>
    </sheetView>
  </sheetViews>
  <sheetFormatPr defaultRowHeight="13.5" x14ac:dyDescent="0.15"/>
  <sheetData>
    <row r="2" spans="2:4" x14ac:dyDescent="0.15">
      <c r="B2">
        <v>4</v>
      </c>
    </row>
    <row r="4" spans="2:4" x14ac:dyDescent="0.15">
      <c r="D4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D4"/>
  <sheetViews>
    <sheetView workbookViewId="0">
      <selection activeCell="C5" sqref="C5"/>
    </sheetView>
  </sheetViews>
  <sheetFormatPr defaultRowHeight="13.5" x14ac:dyDescent="0.15"/>
  <sheetData>
    <row r="3" spans="3:4" x14ac:dyDescent="0.15">
      <c r="C3">
        <v>1</v>
      </c>
      <c r="D3">
        <v>1</v>
      </c>
    </row>
    <row r="4" spans="3:4" x14ac:dyDescent="0.15">
      <c r="C4">
        <v>1</v>
      </c>
      <c r="D4">
        <v>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3"/>
  <sheetViews>
    <sheetView workbookViewId="0">
      <selection activeCell="C3" sqref="C3"/>
    </sheetView>
  </sheetViews>
  <sheetFormatPr defaultRowHeight="13.5" x14ac:dyDescent="0.15"/>
  <sheetData>
    <row r="3" spans="3:3" x14ac:dyDescent="0.15">
      <c r="C3">
        <v>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5"/>
  <sheetViews>
    <sheetView workbookViewId="0">
      <selection activeCell="F24" sqref="F24"/>
    </sheetView>
  </sheetViews>
  <sheetFormatPr defaultRowHeight="13.5" x14ac:dyDescent="0.15"/>
  <cols>
    <col min="1" max="2" width="15.5" customWidth="1"/>
    <col min="3" max="3" width="13.875" customWidth="1"/>
    <col min="4" max="4" width="13.5" customWidth="1"/>
    <col min="5" max="5" width="11.875" customWidth="1"/>
    <col min="6" max="6" width="13.625" customWidth="1"/>
    <col min="7" max="7" width="16.125" customWidth="1"/>
    <col min="8" max="8" width="11.75" customWidth="1"/>
    <col min="9" max="9" width="14.75" customWidth="1"/>
    <col min="10" max="10" width="14.875" customWidth="1"/>
    <col min="11" max="11" width="15.5" customWidth="1"/>
  </cols>
  <sheetData>
    <row r="1" spans="1:5" x14ac:dyDescent="0.15">
      <c r="A1">
        <f>IF(ユニット位置!A1&lt;0,-1,1)*(高さ情報!A1+マップテクスチャ!A1*100+ABS(ユニット位置!A1)*100000+ユニット向き!A1*10000000+プレイヤー配置可能場所!A1*100000000+強制出撃フラグ!A1*1000000000)</f>
        <v>101</v>
      </c>
      <c r="B1">
        <f>IF(ユニット位置!B1&lt;0,-1,1)*(高さ情報!B1+マップテクスチャ!B1*100+ABS(ユニット位置!B1)*100000+ユニット向き!B1*10000000+プレイヤー配置可能場所!B1*100000000+強制出撃フラグ!B1*1000000000)</f>
        <v>101</v>
      </c>
      <c r="C1">
        <f>IF(ユニット位置!C1&lt;0,-1,1)*(高さ情報!C1+マップテクスチャ!C1*100+ABS(ユニット位置!C1)*100000+ユニット向き!C1*10000000+プレイヤー配置可能場所!C1*100000000+強制出撃フラグ!C1*1000000000)</f>
        <v>101</v>
      </c>
      <c r="D1">
        <f>IF(ユニット位置!D1&lt;0,-1,1)*(高さ情報!D1+マップテクスチャ!D1*100+ABS(ユニット位置!D1)*100000+ユニット向き!D1*10000000+プレイヤー配置可能場所!D1*100000000+強制出撃フラグ!D1*1000000000)</f>
        <v>101</v>
      </c>
      <c r="E1">
        <f>IF(ユニット位置!E1&lt;0,-1,1)*(高さ情報!E1+マップテクスチャ!E1*100+ABS(ユニット位置!E1)*100000+ユニット向き!E1*10000000+プレイヤー配置可能場所!E1*100000000+強制出撃フラグ!E1*1000000000)</f>
        <v>101</v>
      </c>
    </row>
    <row r="2" spans="1:5" x14ac:dyDescent="0.15">
      <c r="A2">
        <f>IF(ユニット位置!A2&lt;0,-1,1)*(高さ情報!A2+マップテクスチャ!A2*100+ABS(ユニット位置!A2)*100000+ユニット向き!A2*10000000+プレイヤー配置可能場所!A2*100000000+強制出撃フラグ!A2*1000000000)</f>
        <v>101</v>
      </c>
      <c r="B2">
        <f>IF(ユニット位置!B2&lt;0,-1,1)*(高さ情報!B2+マップテクスチャ!B2*100+ABS(ユニット位置!B2)*100000+ユニット向き!B2*10000000+プレイヤー配置可能場所!B2*100000000+強制出撃フラグ!B2*1000000000)</f>
        <v>40100102</v>
      </c>
      <c r="C2">
        <f>IF(ユニット位置!C2&lt;0,-1,1)*(高さ情報!C2+マップテクスチャ!C2*100+ABS(ユニット位置!C2)*100000+ユニット向き!C2*10000000+プレイヤー配置可能場所!C2*100000000+強制出撃フラグ!C2*1000000000)</f>
        <v>102</v>
      </c>
      <c r="D2">
        <f>IF(ユニット位置!D2&lt;0,-1,1)*(高さ情報!D2+マップテクスチャ!D2*100+ABS(ユニット位置!D2)*100000+ユニット向き!D2*10000000+プレイヤー配置可能場所!D2*100000000+強制出撃フラグ!D2*1000000000)</f>
        <v>102</v>
      </c>
      <c r="E2">
        <f>IF(ユニット位置!E2&lt;0,-1,1)*(高さ情報!E2+マップテクスチャ!E2*100+ABS(ユニット位置!E2)*100000+ユニット向き!E2*10000000+プレイヤー配置可能場所!E2*100000000+強制出撃フラグ!E2*1000000000)</f>
        <v>101</v>
      </c>
    </row>
    <row r="3" spans="1:5" x14ac:dyDescent="0.15">
      <c r="A3">
        <f>IF(ユニット位置!A3&lt;0,-1,1)*(高さ情報!A3+マップテクスチャ!A3*100+ABS(ユニット位置!A3)*100000+ユニット向き!A3*10000000+プレイヤー配置可能場所!A3*100000000+強制出撃フラグ!A3*1000000000)</f>
        <v>101</v>
      </c>
      <c r="B3">
        <f>IF(ユニット位置!B3&lt;0,-1,1)*(高さ情報!B3+マップテクスチャ!B3*100+ABS(ユニット位置!B3)*100000+ユニット向き!B3*10000000+プレイヤー配置可能場所!B3*100000000+強制出撃フラグ!B3*1000000000)</f>
        <v>102</v>
      </c>
      <c r="C3">
        <f>IF(ユニット位置!C3&lt;0,-1,1)*(高さ情報!C3+マップテクスチャ!C3*100+ABS(ユニット位置!C3)*100000+ユニット向き!C3*10000000+プレイヤー配置可能場所!C3*100000000+強制出撃フラグ!C3*1000000000)</f>
        <v>1100000102</v>
      </c>
      <c r="D3">
        <f>IF(ユニット位置!D3&lt;0,-1,1)*(高さ情報!D3+マップテクスチャ!D3*100+ABS(ユニット位置!D3)*100000+ユニット向き!D3*10000000+プレイヤー配置可能場所!D3*100000000+強制出撃フラグ!D3*1000000000)</f>
        <v>100000102</v>
      </c>
      <c r="E3">
        <f>IF(ユニット位置!E3&lt;0,-1,1)*(高さ情報!E3+マップテクスチャ!E3*100+ABS(ユニット位置!E3)*100000+ユニット向き!E3*10000000+プレイヤー配置可能場所!E3*100000000+強制出撃フラグ!E3*1000000000)</f>
        <v>101</v>
      </c>
    </row>
    <row r="4" spans="1:5" x14ac:dyDescent="0.15">
      <c r="A4">
        <f>IF(ユニット位置!A4&lt;0,-1,1)*(高さ情報!A4+マップテクスチャ!A4*100+ABS(ユニット位置!A4)*100000+ユニット向き!A4*10000000+プレイヤー配置可能場所!A4*100000000+強制出撃フラグ!A4*1000000000)</f>
        <v>101</v>
      </c>
      <c r="B4">
        <f>IF(ユニット位置!B4&lt;0,-1,1)*(高さ情報!B4+マップテクスチャ!B4*100+ABS(ユニット位置!B4)*100000+ユニット向き!B4*10000000+プレイヤー配置可能場所!B4*100000000+強制出撃フラグ!B4*1000000000)</f>
        <v>102</v>
      </c>
      <c r="C4">
        <f>IF(ユニット位置!C4&lt;0,-1,1)*(高さ情報!C4+マップテクスチャ!C4*100+ABS(ユニット位置!C4)*100000+ユニット向き!C4*10000000+プレイヤー配置可能場所!C4*100000000+強制出撃フラグ!C4*1000000000)</f>
        <v>100000102</v>
      </c>
      <c r="D4">
        <f>IF(ユニット位置!D4&lt;0,-1,1)*(高さ情報!D4+マップテクスチャ!D4*100+ABS(ユニット位置!D4)*100000+ユニット向き!D4*10000000+プレイヤー配置可能場所!D4*100000000+強制出撃フラグ!D4*1000000000)</f>
        <v>-130100102</v>
      </c>
      <c r="E4">
        <f>IF(ユニット位置!E4&lt;0,-1,1)*(高さ情報!E4+マップテクスチャ!E4*100+ABS(ユニット位置!E4)*100000+ユニット向き!E4*10000000+プレイヤー配置可能場所!E4*100000000+強制出撃フラグ!E4*1000000000)</f>
        <v>101</v>
      </c>
    </row>
    <row r="5" spans="1:5" x14ac:dyDescent="0.15">
      <c r="A5">
        <f>IF(ユニット位置!A5&lt;0,-1,1)*(高さ情報!A5+マップテクスチャ!A5*100+ABS(ユニット位置!A5)*100000+ユニット向き!A5*10000000+プレイヤー配置可能場所!A5*100000000+強制出撃フラグ!A5*1000000000)</f>
        <v>101</v>
      </c>
      <c r="B5">
        <f>IF(ユニット位置!B5&lt;0,-1,1)*(高さ情報!B5+マップテクスチャ!B5*100+ABS(ユニット位置!B5)*100000+ユニット向き!B5*10000000+プレイヤー配置可能場所!B5*100000000+強制出撃フラグ!B5*1000000000)</f>
        <v>101</v>
      </c>
      <c r="C5">
        <f>IF(ユニット位置!C5&lt;0,-1,1)*(高さ情報!C5+マップテクスチャ!C5*100+ABS(ユニット位置!C5)*100000+ユニット向き!C5*10000000+プレイヤー配置可能場所!C5*100000000+強制出撃フラグ!C5*1000000000)</f>
        <v>101</v>
      </c>
      <c r="D5">
        <f>IF(ユニット位置!D5&lt;0,-1,1)*(高さ情報!D5+マップテクスチャ!D5*100+ABS(ユニット位置!D5)*100000+ユニット向き!D5*10000000+プレイヤー配置可能場所!D5*100000000+強制出撃フラグ!D5*1000000000)</f>
        <v>101</v>
      </c>
      <c r="E5">
        <f>IF(ユニット位置!E5&lt;0,-1,1)*(高さ情報!E5+マップテクスチャ!E5*100+ABS(ユニット位置!E5)*100000+ユニット向き!E5*10000000+プレイヤー配置可能場所!E5*100000000+強制出撃フラグ!E5*1000000000)</f>
        <v>101</v>
      </c>
    </row>
  </sheetData>
  <phoneticPr fontId="1"/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SVOUTPUT">
                <anchor moveWithCells="1" sizeWithCells="1">
                  <from>
                    <xdr:col>4</xdr:col>
                    <xdr:colOff>257175</xdr:colOff>
                    <xdr:row>15</xdr:row>
                    <xdr:rowOff>38100</xdr:rowOff>
                  </from>
                  <to>
                    <xdr:col>5</xdr:col>
                    <xdr:colOff>504825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高さ情報</vt:lpstr>
      <vt:lpstr>マップテクスチャ</vt:lpstr>
      <vt:lpstr>ユニット位置</vt:lpstr>
      <vt:lpstr>ユニット向き</vt:lpstr>
      <vt:lpstr>プレイヤー配置可能場所</vt:lpstr>
      <vt:lpstr>強制出撃フラグ</vt:lpstr>
      <vt:lpstr>マップ完成版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ゆう</dc:creator>
  <cp:lastModifiedBy>大井脩平</cp:lastModifiedBy>
  <dcterms:created xsi:type="dcterms:W3CDTF">2019-07-07T12:28:32Z</dcterms:created>
  <dcterms:modified xsi:type="dcterms:W3CDTF">2019-11-16T17:45:10Z</dcterms:modified>
</cp:coreProperties>
</file>